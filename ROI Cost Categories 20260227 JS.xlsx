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vate\jasonscharfspitz\Product Mgmt\TMA\Marketing\"/>
    </mc:Choice>
  </mc:AlternateContent>
  <xr:revisionPtr revIDLastSave="0" documentId="13_ncr:1_{16356E62-C7C2-4BD9-9596-97909D8CD475}" xr6:coauthVersionLast="47" xr6:coauthVersionMax="47" xr10:uidLastSave="{00000000-0000-0000-0000-000000000000}"/>
  <bookViews>
    <workbookView xWindow="28680" yWindow="-120" windowWidth="29040" windowHeight="17520" xr2:uid="{753B086A-C8F7-4E4D-B1AC-91EE86E41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I8" i="1"/>
  <c r="I7" i="1"/>
  <c r="I6" i="1"/>
  <c r="I5" i="1"/>
</calcChain>
</file>

<file path=xl/sharedStrings.xml><?xml version="1.0" encoding="utf-8"?>
<sst xmlns="http://schemas.openxmlformats.org/spreadsheetml/2006/main" count="12" uniqueCount="9">
  <si>
    <t>ASAP ROI Analysis - Cost Categories</t>
  </si>
  <si>
    <t>Tier</t>
  </si>
  <si>
    <t>Pop Lower</t>
  </si>
  <si>
    <t>Range</t>
  </si>
  <si>
    <t>Pop Upper</t>
  </si>
  <si>
    <t>One-Time</t>
  </si>
  <si>
    <t>Cost</t>
  </si>
  <si>
    <t>Recurring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</si>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</sst>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Alignment="1">
      <alignment horizontal="right"/>
    </xf>
    <xf numFmtId="167" fontId="2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51ED-1B26-4A73-8157-FE94B06B2148}">
  <dimension ref="A1:J8"/>
  <sheetViews>
    <sheetView tabSelected="1" workbookViewId="0"/>
  </sheetViews>
  <sheetFormatPr defaultRowHeight="12.5" x14ac:dyDescent="0.25"/>
  <cols>
    <col min="1" max="4" width="1.6328125" style="1" customWidth="1"/>
    <col min="5" max="5" width="8.7265625" style="1"/>
    <col min="6" max="10" width="10.6328125" style="1" customWidth="1"/>
    <col min="11" max="16384" width="8.7265625" style="1"/>
  </cols>
  <sheetData>
    <row r="1" spans="1:10" ht="15.5" x14ac:dyDescent="0.35">
      <c r="A1" s="2" t="s">
        <v>0</v>
      </c>
    </row>
    <row r="3" spans="1:10" x14ac:dyDescent="0.25">
      <c r="F3" s="4"/>
      <c r="G3" s="4" t="s">
        <v>2</v>
      </c>
      <c r="H3" s="4" t="s">
        <v>4</v>
      </c>
      <c r="I3" s="4" t="s">
        <v>5</v>
      </c>
      <c r="J3" s="4" t="s">
        <v>7</v>
      </c>
    </row>
    <row r="4" spans="1:10" x14ac:dyDescent="0.25">
      <c r="F4" s="5" t="s">
        <v>1</v>
      </c>
      <c r="G4" s="5" t="s">
        <v>3</v>
      </c>
      <c r="H4" s="5" t="s">
        <v>3</v>
      </c>
      <c r="I4" s="5" t="s">
        <v>6</v>
      </c>
      <c r="J4" s="5" t="s">
        <v>6</v>
      </c>
    </row>
    <row r="5" spans="1:10" x14ac:dyDescent="0.25">
      <c r="F5" s="3">
        <v>0</v>
      </c>
      <c r="G5" s="7">
        <v>2500000</v>
      </c>
      <c r="H5" s="7" t="s">
        <v>8</v>
      </c>
      <c r="I5" s="8">
        <f>32160+50000</f>
        <v>82160</v>
      </c>
      <c r="J5" s="8">
        <f>50000*0.09</f>
        <v>4500</v>
      </c>
    </row>
    <row r="6" spans="1:10" x14ac:dyDescent="0.25">
      <c r="F6" s="3">
        <v>1</v>
      </c>
      <c r="G6" s="7">
        <v>500000</v>
      </c>
      <c r="H6" s="7">
        <v>2499999</v>
      </c>
      <c r="I6" s="6">
        <f>16080+40000</f>
        <v>56080</v>
      </c>
      <c r="J6" s="6">
        <f>40000*0.09</f>
        <v>3600</v>
      </c>
    </row>
    <row r="7" spans="1:10" x14ac:dyDescent="0.25">
      <c r="F7" s="3">
        <v>2</v>
      </c>
      <c r="G7" s="7">
        <v>100000</v>
      </c>
      <c r="H7" s="7">
        <v>499999</v>
      </c>
      <c r="I7" s="6">
        <f>10720+30000</f>
        <v>40720</v>
      </c>
      <c r="J7" s="6">
        <f>30000*0.09</f>
        <v>2700</v>
      </c>
    </row>
    <row r="8" spans="1:10" x14ac:dyDescent="0.25">
      <c r="F8" s="3">
        <v>3</v>
      </c>
      <c r="G8" s="7" t="s">
        <v>8</v>
      </c>
      <c r="H8" s="7">
        <v>99999</v>
      </c>
      <c r="I8" s="6">
        <f>8040+20000</f>
        <v>28040</v>
      </c>
      <c r="J8" s="6">
        <f>20000*0.09</f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Scharfspitz</dc:creator>
  <cp:lastModifiedBy>Jason Scharfspitz</cp:lastModifiedBy>
  <dcterms:created xsi:type="dcterms:W3CDTF">2026-02-27T23:34:07Z</dcterms:created>
  <dcterms:modified xsi:type="dcterms:W3CDTF">2026-02-27T23:48:16Z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2026-02-27T23:34:14Z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598da55f-a778-4602-93c1-2a392cf3800d</vt:lpwstr>
  </property>
  <property fmtid="{D5CDD505-2E9C-101B-9397-08002B2CF9AE}" pid="7" name="MSIP_Label_defa4170-0d19-0005-0004-bc88714345d2_ActionId">
    <vt:lpwstr>91405bbb-91f8-4e8d-8c9b-99be2dc53d80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