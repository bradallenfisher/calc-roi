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jasonscharfspitz\Product Mgmt\TMA\Post Closing\"/>
    </mc:Choice>
  </mc:AlternateContent>
  <xr:revisionPtr revIDLastSave="0" documentId="13_ncr:1_{DE56E7DF-7E85-4E38-B335-EBB9AB7A2D72}" xr6:coauthVersionLast="47" xr6:coauthVersionMax="47" xr10:uidLastSave="{00000000-0000-0000-0000-000000000000}"/>
  <bookViews>
    <workbookView xWindow="-110" yWindow="-110" windowWidth="19420" windowHeight="10300" xr2:uid="{DBDC0782-8BB8-4224-9B7F-B02C23DF692D}"/>
  </bookViews>
  <sheets>
    <sheet name="Calc" sheetId="1" r:id="rId1"/>
    <sheet name="Outputs" sheetId="3" r:id="rId2"/>
    <sheet name="Categori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G19" i="1"/>
  <c r="G18" i="1"/>
  <c r="G15" i="1"/>
  <c r="G6" i="1"/>
  <c r="G8" i="1" s="1"/>
  <c r="G23" i="1" s="1"/>
  <c r="G35" i="1"/>
  <c r="G34" i="1"/>
  <c r="J8" i="2"/>
  <c r="I8" i="2"/>
  <c r="J7" i="2"/>
  <c r="I7" i="2"/>
  <c r="J6" i="2"/>
  <c r="I6" i="2"/>
  <c r="J5" i="2"/>
  <c r="I5" i="2"/>
  <c r="G21" i="1"/>
  <c r="G29" i="1"/>
  <c r="G39" i="1" l="1"/>
  <c r="I4" i="1"/>
  <c r="G24" i="1"/>
  <c r="I6" i="1" s="1"/>
  <c r="G25" i="1" l="1"/>
  <c r="G30" i="1"/>
  <c r="G26" i="1"/>
  <c r="G40" i="1"/>
  <c r="G41" i="1" s="1"/>
  <c r="G42" i="1" s="1"/>
  <c r="I7" i="1" l="1"/>
  <c r="G37" i="1"/>
  <c r="J8" i="1" s="1"/>
  <c r="G31" i="1"/>
  <c r="G36" i="1" l="1"/>
  <c r="I8" i="1" s="1"/>
  <c r="J7" i="1"/>
</calcChain>
</file>

<file path=xl/sharedStrings.xml><?xml version="1.0" encoding="utf-8"?>
<sst xmlns="http://schemas.openxmlformats.org/spreadsheetml/2006/main" count="65" uniqueCount="61">
  <si>
    <t>Percent expected to transition to ASAP Service</t>
  </si>
  <si>
    <t>Average telecommunicator burdened compensation</t>
  </si>
  <si>
    <t>Hourly</t>
  </si>
  <si>
    <t>Return on investment</t>
  </si>
  <si>
    <t>Cost of living compensation increase per year</t>
  </si>
  <si>
    <t>ASAP ECC ROI Calculator</t>
  </si>
  <si>
    <t>Upfront implementation cost</t>
  </si>
  <si>
    <t>Recurring annual CAD interface maintenance fee</t>
  </si>
  <si>
    <t>More accurate responses (no transcription errors, AVS-01)</t>
  </si>
  <si>
    <t>Monthly alarm requests for service</t>
  </si>
  <si>
    <t>Monthly alarm requests to be handled by ASAP Service</t>
  </si>
  <si>
    <t>Monthly 911 calls</t>
  </si>
  <si>
    <t>ASAP Service alarm request processing time</t>
  </si>
  <si>
    <t>Monthly reallocated telecommunicator time</t>
  </si>
  <si>
    <t>In hours</t>
  </si>
  <si>
    <t>Value of reallocated time/month</t>
  </si>
  <si>
    <t>Value of reallocated time/year</t>
  </si>
  <si>
    <t>Reduction in time needed to process each 911 call</t>
  </si>
  <si>
    <t>Reduction in time needed to dispatch an alam request</t>
  </si>
  <si>
    <t>Telecommunicator time reallocated per year (hours)</t>
  </si>
  <si>
    <t>Time saved per year</t>
  </si>
  <si>
    <t>Items not quantified</t>
  </si>
  <si>
    <t>Improved metrics on alarm calls</t>
  </si>
  <si>
    <t>Alarm request for service call (minutes)</t>
  </si>
  <si>
    <t>Population served</t>
  </si>
  <si>
    <t>(Call processing times in minutes unless otherwise stated)</t>
  </si>
  <si>
    <t>Result outputs</t>
  </si>
  <si>
    <t>(Monthly)</t>
  </si>
  <si>
    <t>Input data (show)</t>
  </si>
  <si>
    <t>Population Served</t>
  </si>
  <si>
    <t>Monthly 911 Calls</t>
  </si>
  <si>
    <t>Monthly Alarm Requests</t>
  </si>
  <si>
    <t>Output results</t>
  </si>
  <si>
    <t>Minutes to Dispatch Saved/Incident</t>
  </si>
  <si>
    <t>Telecommunicator Time Saved/Incident</t>
  </si>
  <si>
    <t>Monthly Telecommunicator Hours Saved</t>
  </si>
  <si>
    <t>Monthly Value of Reallocated Time</t>
  </si>
  <si>
    <t>Annual Value of Reallocated Time</t>
  </si>
  <si>
    <t>ROI</t>
  </si>
  <si>
    <t>Hold time on admin line per call</t>
  </si>
  <si>
    <t>Time delay saved per month (minutes)</t>
  </si>
  <si>
    <t>Initial telecommunicator processing time (first call)</t>
  </si>
  <si>
    <t>Number of call backs needed (after first call)</t>
  </si>
  <si>
    <t>Payback months</t>
  </si>
  <si>
    <t>Pop Lower</t>
  </si>
  <si>
    <t>Pop Upper</t>
  </si>
  <si>
    <t>One-Time</t>
  </si>
  <si>
    <t>Recurring</t>
  </si>
  <si>
    <t>Tier</t>
  </si>
  <si>
    <t>Range</t>
  </si>
  <si>
    <t>Cost</t>
  </si>
  <si>
    <t>None</t>
  </si>
  <si>
    <t>ASAP ECC ROI Calculator - Cost Categories</t>
  </si>
  <si>
    <t>ASAP ECC ROI Calculator - Outputs</t>
  </si>
  <si>
    <t>Payback Period (months)</t>
  </si>
  <si>
    <t>Compare to Calculator</t>
  </si>
  <si>
    <t>Time per first callback</t>
  </si>
  <si>
    <t>Time per second callback (post-incident debrief)</t>
  </si>
  <si>
    <t>Time needed to dispatch if phone-based</t>
  </si>
  <si>
    <t>ECC telecommunicator time needed per alarm request</t>
  </si>
  <si>
    <t>Alarm monitoring center operator time needed for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</si>
</sst>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&quot;$&quot;* #,##0_);_(&quot;$&quot;* \(#,##0\);_(&quot;$&quot;* &quot;-&quot;??_);_(@_)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Dashed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65" fontId="3" fillId="0" borderId="0" xfId="1" applyNumberFormat="1" applyFont="1"/>
    <xf numFmtId="9" fontId="3" fillId="0" borderId="0" xfId="3" applyFont="1"/>
    <xf numFmtId="165" fontId="2" fillId="0" borderId="0" xfId="1" applyNumberFormat="1" applyFont="1"/>
    <xf numFmtId="165" fontId="2" fillId="0" borderId="0" xfId="0" applyNumberFormat="1" applyFont="1"/>
    <xf numFmtId="166" fontId="3" fillId="0" borderId="0" xfId="2" applyNumberFormat="1" applyFont="1"/>
    <xf numFmtId="166" fontId="2" fillId="0" borderId="0" xfId="2" applyNumberFormat="1" applyFont="1"/>
    <xf numFmtId="164" fontId="2" fillId="0" borderId="0" xfId="0" applyNumberFormat="1" applyFont="1"/>
    <xf numFmtId="0" fontId="4" fillId="0" borderId="0" xfId="0" applyFont="1"/>
    <xf numFmtId="166" fontId="2" fillId="2" borderId="0" xfId="2" applyNumberFormat="1" applyFont="1" applyFill="1"/>
    <xf numFmtId="9" fontId="2" fillId="0" borderId="0" xfId="3" applyFont="1" applyFill="1"/>
    <xf numFmtId="164" fontId="3" fillId="0" borderId="0" xfId="1" applyNumberFormat="1" applyFont="1"/>
    <xf numFmtId="164" fontId="5" fillId="0" borderId="0" xfId="1" applyNumberFormat="1" applyFont="1"/>
    <xf numFmtId="166" fontId="2" fillId="0" borderId="0" xfId="2" applyNumberFormat="1" applyFont="1" applyFill="1"/>
    <xf numFmtId="44" fontId="2" fillId="0" borderId="0" xfId="0" applyNumberFormat="1" applyFont="1"/>
    <xf numFmtId="164" fontId="3" fillId="0" borderId="1" xfId="1" applyNumberFormat="1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0" borderId="0" xfId="1" applyNumberFormat="1" applyFont="1" applyBorder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6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165" fontId="2" fillId="0" borderId="0" xfId="1" applyNumberFormat="1" applyFont="1" applyAlignment="1">
      <alignment horizontal="righ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167" fontId="2" fillId="2" borderId="0" xfId="3" applyNumberFormat="1" applyFont="1" applyFill="1"/>
    <xf numFmtId="164" fontId="2" fillId="2" borderId="0" xfId="0" applyNumberFormat="1" applyFont="1" applyFill="1"/>
    <xf numFmtId="164" fontId="2" fillId="2" borderId="0" xfId="1" applyNumberFormat="1" applyFont="1" applyFill="1"/>
    <xf numFmtId="166" fontId="2" fillId="0" borderId="0" xfId="0" applyNumberFormat="1" applyFont="1"/>
    <xf numFmtId="167" fontId="2" fillId="0" borderId="0" xfId="0" applyNumberFormat="1" applyFont="1"/>
    <xf numFmtId="165" fontId="5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DAD5-5291-428A-B2BE-5BA4DCAC6798}">
  <dimension ref="A1:J46"/>
  <sheetViews>
    <sheetView tabSelected="1" zoomScaleNormal="100" workbookViewId="0"/>
  </sheetViews>
  <sheetFormatPr defaultRowHeight="12.5" x14ac:dyDescent="0.25"/>
  <cols>
    <col min="1" max="4" width="1.6328125" style="1" customWidth="1"/>
    <col min="5" max="5" width="8.7265625" style="1"/>
    <col min="6" max="6" width="32.7265625" style="1" customWidth="1"/>
    <col min="7" max="7" width="11.6328125" style="1" customWidth="1"/>
    <col min="8" max="16384" width="8.7265625" style="1"/>
  </cols>
  <sheetData>
    <row r="1" spans="1:10" ht="15.5" x14ac:dyDescent="0.35">
      <c r="A1" s="9" t="s">
        <v>5</v>
      </c>
    </row>
    <row r="2" spans="1:10" x14ac:dyDescent="0.25">
      <c r="A2" s="1" t="s">
        <v>25</v>
      </c>
    </row>
    <row r="3" spans="1:10" x14ac:dyDescent="0.25">
      <c r="I3" s="1" t="s">
        <v>55</v>
      </c>
    </row>
    <row r="4" spans="1:10" x14ac:dyDescent="0.25">
      <c r="B4" s="1" t="s">
        <v>24</v>
      </c>
      <c r="G4" s="2">
        <v>1000000</v>
      </c>
      <c r="I4" s="8">
        <f>G39</f>
        <v>5.666666666666667</v>
      </c>
    </row>
    <row r="5" spans="1:10" x14ac:dyDescent="0.25">
      <c r="B5" s="1" t="s">
        <v>11</v>
      </c>
      <c r="G5" s="2">
        <v>10000</v>
      </c>
      <c r="J5" s="8">
        <f>G18-G21</f>
        <v>3.1666666666666665</v>
      </c>
    </row>
    <row r="6" spans="1:10" x14ac:dyDescent="0.25">
      <c r="B6" s="1" t="s">
        <v>9</v>
      </c>
      <c r="G6" s="42">
        <f>G5*0.1</f>
        <v>1000</v>
      </c>
      <c r="I6" s="8">
        <f>G24</f>
        <v>43.75</v>
      </c>
    </row>
    <row r="7" spans="1:10" x14ac:dyDescent="0.25">
      <c r="C7" s="1" t="s">
        <v>0</v>
      </c>
      <c r="G7" s="3">
        <v>0.75</v>
      </c>
      <c r="I7" s="40">
        <f>G30</f>
        <v>1672.1754807692307</v>
      </c>
      <c r="J7" s="40">
        <f>G31</f>
        <v>20066.10576923077</v>
      </c>
    </row>
    <row r="8" spans="1:10" x14ac:dyDescent="0.25">
      <c r="D8" s="1" t="s">
        <v>10</v>
      </c>
      <c r="G8" s="4">
        <f>G6*G7</f>
        <v>750</v>
      </c>
      <c r="I8" s="41">
        <f>G36</f>
        <v>0.32361814852408644</v>
      </c>
      <c r="J8" s="8">
        <f>G37</f>
        <v>39.995802336028753</v>
      </c>
    </row>
    <row r="9" spans="1:10" x14ac:dyDescent="0.25">
      <c r="G9" s="4"/>
    </row>
    <row r="10" spans="1:10" x14ac:dyDescent="0.25">
      <c r="B10" s="1" t="s">
        <v>23</v>
      </c>
      <c r="G10" s="4"/>
    </row>
    <row r="11" spans="1:10" x14ac:dyDescent="0.25">
      <c r="C11" s="1" t="s">
        <v>39</v>
      </c>
      <c r="G11" s="12">
        <v>2</v>
      </c>
    </row>
    <row r="12" spans="1:10" x14ac:dyDescent="0.25">
      <c r="C12" s="1" t="s">
        <v>41</v>
      </c>
      <c r="G12" s="25">
        <v>1.5</v>
      </c>
    </row>
    <row r="13" spans="1:10" x14ac:dyDescent="0.25">
      <c r="C13" s="1" t="s">
        <v>42</v>
      </c>
      <c r="G13" s="12">
        <v>2</v>
      </c>
    </row>
    <row r="14" spans="1:10" x14ac:dyDescent="0.25">
      <c r="D14" s="1" t="s">
        <v>56</v>
      </c>
      <c r="G14" s="16">
        <v>0.5</v>
      </c>
    </row>
    <row r="15" spans="1:10" x14ac:dyDescent="0.25">
      <c r="E15" s="1" t="s">
        <v>58</v>
      </c>
      <c r="G15" s="12">
        <f>(G11+G12)+(G11+G14)</f>
        <v>6</v>
      </c>
    </row>
    <row r="16" spans="1:10" x14ac:dyDescent="0.25">
      <c r="G16" s="12"/>
    </row>
    <row r="17" spans="2:7" x14ac:dyDescent="0.25">
      <c r="D17" s="1" t="s">
        <v>57</v>
      </c>
      <c r="G17" s="12">
        <v>1.5</v>
      </c>
    </row>
    <row r="18" spans="2:7" x14ac:dyDescent="0.25">
      <c r="C18" s="1" t="s">
        <v>59</v>
      </c>
      <c r="G18" s="13">
        <f>G12+G14+G17</f>
        <v>3.5</v>
      </c>
    </row>
    <row r="19" spans="2:7" x14ac:dyDescent="0.25">
      <c r="C19" s="1" t="s">
        <v>60</v>
      </c>
      <c r="G19" s="13">
        <f>G11*3+G18</f>
        <v>9.5</v>
      </c>
    </row>
    <row r="20" spans="2:7" x14ac:dyDescent="0.25">
      <c r="G20" s="2"/>
    </row>
    <row r="21" spans="2:7" x14ac:dyDescent="0.25">
      <c r="B21" s="1" t="s">
        <v>12</v>
      </c>
      <c r="G21" s="12">
        <f>20/60</f>
        <v>0.33333333333333331</v>
      </c>
    </row>
    <row r="22" spans="2:7" x14ac:dyDescent="0.25">
      <c r="G22" s="2"/>
    </row>
    <row r="23" spans="2:7" x14ac:dyDescent="0.25">
      <c r="B23" s="1" t="s">
        <v>13</v>
      </c>
      <c r="G23" s="4">
        <f>G8*G18</f>
        <v>2625</v>
      </c>
    </row>
    <row r="24" spans="2:7" x14ac:dyDescent="0.25">
      <c r="C24" s="1" t="s">
        <v>14</v>
      </c>
      <c r="G24" s="38">
        <f>G23/60</f>
        <v>43.75</v>
      </c>
    </row>
    <row r="25" spans="2:7" x14ac:dyDescent="0.25">
      <c r="D25" s="1" t="s">
        <v>19</v>
      </c>
      <c r="G25" s="5">
        <f>G24*12</f>
        <v>525</v>
      </c>
    </row>
    <row r="26" spans="2:7" x14ac:dyDescent="0.25">
      <c r="E26" s="1" t="s">
        <v>17</v>
      </c>
      <c r="G26" s="17">
        <f>G23/G5</f>
        <v>0.26250000000000001</v>
      </c>
    </row>
    <row r="27" spans="2:7" x14ac:dyDescent="0.25">
      <c r="G27" s="5"/>
    </row>
    <row r="28" spans="2:7" x14ac:dyDescent="0.25">
      <c r="B28" s="1" t="s">
        <v>1</v>
      </c>
      <c r="G28" s="6">
        <v>79500</v>
      </c>
    </row>
    <row r="29" spans="2:7" x14ac:dyDescent="0.25">
      <c r="C29" s="1" t="s">
        <v>2</v>
      </c>
      <c r="G29" s="15">
        <f>G28/2080</f>
        <v>38.221153846153847</v>
      </c>
    </row>
    <row r="30" spans="2:7" x14ac:dyDescent="0.25">
      <c r="B30" s="1" t="s">
        <v>15</v>
      </c>
      <c r="G30" s="10">
        <f>G24*G29</f>
        <v>1672.1754807692307</v>
      </c>
    </row>
    <row r="31" spans="2:7" x14ac:dyDescent="0.25">
      <c r="C31" s="1" t="s">
        <v>16</v>
      </c>
      <c r="G31" s="10">
        <f>G30*12</f>
        <v>20066.10576923077</v>
      </c>
    </row>
    <row r="32" spans="2:7" x14ac:dyDescent="0.25">
      <c r="B32" s="1" t="s">
        <v>4</v>
      </c>
      <c r="G32" s="3">
        <v>0.03</v>
      </c>
    </row>
    <row r="33" spans="2:7" x14ac:dyDescent="0.25">
      <c r="G33" s="14"/>
    </row>
    <row r="34" spans="2:7" x14ac:dyDescent="0.25">
      <c r="B34" s="1" t="s">
        <v>6</v>
      </c>
      <c r="G34" s="6">
        <f>IF(G4&lt;Categories!G7,Categories!I8,IF(G4&lt;Categories!G6,Categories!I7,IF(G4&lt;Categories!G5,Categories!I6,Categories!I5)))</f>
        <v>56080</v>
      </c>
    </row>
    <row r="35" spans="2:7" x14ac:dyDescent="0.25">
      <c r="B35" s="1" t="s">
        <v>7</v>
      </c>
      <c r="G35" s="6">
        <f>IF(G4&lt;Categories!G7,Categories!J8,IF(G4&lt;Categories!G6,Categories!J7,IF(G4&lt;Categories!G5,Categories!J6,Categories!J5)))</f>
        <v>3600</v>
      </c>
    </row>
    <row r="36" spans="2:7" x14ac:dyDescent="0.25">
      <c r="B36" s="1" t="s">
        <v>3</v>
      </c>
      <c r="G36" s="37">
        <f>(G31-G35)/ABS(G34)+G32</f>
        <v>0.32361814852408644</v>
      </c>
    </row>
    <row r="37" spans="2:7" x14ac:dyDescent="0.25">
      <c r="B37" s="1" t="s">
        <v>43</v>
      </c>
      <c r="G37" s="39">
        <f>IF((G34/G30)&lt;12,G34/G30,IF((G34+G35)/G30&lt;24,(G34+G35)/G30,IF((G34+G35*2)/G30&lt;36,(G34+G35*2)/G30,IF((G34+G35*3)/G30&lt;48,(G34+G35*3)/G30,IF(((G34+G35*4)/G30)&lt;60,(G34+G35*4)/G30,"&gt;60")))))</f>
        <v>39.995802336028753</v>
      </c>
    </row>
    <row r="38" spans="2:7" x14ac:dyDescent="0.25">
      <c r="G38" s="11"/>
    </row>
    <row r="39" spans="2:7" x14ac:dyDescent="0.25">
      <c r="B39" s="1" t="s">
        <v>18</v>
      </c>
      <c r="G39" s="8">
        <f>G15-G21</f>
        <v>5.666666666666667</v>
      </c>
    </row>
    <row r="40" spans="2:7" x14ac:dyDescent="0.25">
      <c r="D40" s="1" t="s">
        <v>40</v>
      </c>
      <c r="G40" s="4">
        <f>G8*G39</f>
        <v>4250</v>
      </c>
    </row>
    <row r="41" spans="2:7" x14ac:dyDescent="0.25">
      <c r="E41" s="1" t="s">
        <v>14</v>
      </c>
      <c r="G41" s="5">
        <f>G40/60</f>
        <v>70.833333333333329</v>
      </c>
    </row>
    <row r="42" spans="2:7" x14ac:dyDescent="0.25">
      <c r="D42" s="1" t="s">
        <v>20</v>
      </c>
      <c r="G42" s="5">
        <f>G41*12</f>
        <v>850</v>
      </c>
    </row>
    <row r="44" spans="2:7" x14ac:dyDescent="0.25">
      <c r="B44" s="1" t="s">
        <v>21</v>
      </c>
    </row>
    <row r="45" spans="2:7" x14ac:dyDescent="0.25">
      <c r="C45" s="1" t="s">
        <v>22</v>
      </c>
    </row>
    <row r="46" spans="2:7" x14ac:dyDescent="0.25">
      <c r="C46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5575-A57F-439C-AEE0-025839A1BE40}">
  <dimension ref="A1:I16"/>
  <sheetViews>
    <sheetView workbookViewId="0"/>
  </sheetViews>
  <sheetFormatPr defaultRowHeight="14.5" x14ac:dyDescent="0.35"/>
  <cols>
    <col min="1" max="4" width="1.6328125" customWidth="1"/>
    <col min="5" max="5" width="15.453125" customWidth="1"/>
    <col min="6" max="8" width="20.6328125" customWidth="1"/>
  </cols>
  <sheetData>
    <row r="1" spans="1:9" ht="15.5" x14ac:dyDescent="0.35">
      <c r="A1" s="9" t="s">
        <v>53</v>
      </c>
    </row>
    <row r="2" spans="1:9" s="1" customFormat="1" ht="12.5" x14ac:dyDescent="0.25"/>
    <row r="3" spans="1:9" s="1" customFormat="1" ht="7" customHeight="1" x14ac:dyDescent="0.25">
      <c r="A3" s="18"/>
      <c r="B3" s="19"/>
      <c r="C3" s="19"/>
      <c r="D3" s="19"/>
      <c r="E3" s="19"/>
      <c r="F3" s="19"/>
      <c r="G3" s="19"/>
      <c r="H3" s="19"/>
      <c r="I3" s="20"/>
    </row>
    <row r="4" spans="1:9" s="1" customFormat="1" ht="13" x14ac:dyDescent="0.3">
      <c r="A4" s="21"/>
      <c r="B4" s="28" t="s">
        <v>26</v>
      </c>
      <c r="I4" s="22"/>
    </row>
    <row r="5" spans="1:9" s="1" customFormat="1" ht="12.5" x14ac:dyDescent="0.25">
      <c r="A5" s="21"/>
      <c r="B5" s="1" t="s">
        <v>27</v>
      </c>
      <c r="I5" s="22"/>
    </row>
    <row r="6" spans="1:9" s="1" customFormat="1" ht="12.5" x14ac:dyDescent="0.25">
      <c r="A6" s="21"/>
      <c r="I6" s="22"/>
    </row>
    <row r="7" spans="1:9" s="1" customFormat="1" ht="12.5" x14ac:dyDescent="0.25">
      <c r="A7" s="21"/>
      <c r="D7" s="26"/>
      <c r="E7" s="26" t="s">
        <v>28</v>
      </c>
      <c r="F7" s="27" t="s">
        <v>29</v>
      </c>
      <c r="G7" s="27" t="s">
        <v>30</v>
      </c>
      <c r="H7" s="27" t="s">
        <v>31</v>
      </c>
      <c r="I7" s="22"/>
    </row>
    <row r="8" spans="1:9" s="1" customFormat="1" ht="13" thickBot="1" x14ac:dyDescent="0.3">
      <c r="A8" s="21"/>
      <c r="D8" s="26"/>
      <c r="E8" s="31"/>
      <c r="F8" s="32"/>
      <c r="G8" s="32"/>
      <c r="H8" s="32"/>
      <c r="I8" s="22"/>
    </row>
    <row r="9" spans="1:9" s="1" customFormat="1" ht="12.5" x14ac:dyDescent="0.25">
      <c r="A9" s="21"/>
      <c r="D9" s="26"/>
      <c r="E9" s="26"/>
      <c r="F9" s="27"/>
      <c r="G9" s="27"/>
      <c r="H9" s="27"/>
      <c r="I9" s="22"/>
    </row>
    <row r="10" spans="1:9" s="1" customFormat="1" ht="37.5" x14ac:dyDescent="0.25">
      <c r="A10" s="21"/>
      <c r="D10" s="26"/>
      <c r="E10" s="26" t="s">
        <v>32</v>
      </c>
      <c r="F10" s="27" t="s">
        <v>33</v>
      </c>
      <c r="G10" s="27" t="s">
        <v>34</v>
      </c>
      <c r="H10" s="27" t="s">
        <v>35</v>
      </c>
      <c r="I10" s="22"/>
    </row>
    <row r="11" spans="1:9" s="1" customFormat="1" ht="12.5" x14ac:dyDescent="0.25">
      <c r="A11" s="21"/>
      <c r="D11" s="26"/>
      <c r="E11" s="26"/>
      <c r="F11" s="27"/>
      <c r="G11" s="27"/>
      <c r="H11" s="27"/>
      <c r="I11" s="22"/>
    </row>
    <row r="12" spans="1:9" s="1" customFormat="1" ht="31" customHeight="1" x14ac:dyDescent="0.25">
      <c r="A12" s="21"/>
      <c r="B12" s="26"/>
      <c r="C12" s="26"/>
      <c r="D12" s="26"/>
      <c r="E12" s="26"/>
      <c r="F12" s="27" t="s">
        <v>36</v>
      </c>
      <c r="G12" s="27" t="s">
        <v>37</v>
      </c>
      <c r="H12" s="27" t="s">
        <v>38</v>
      </c>
      <c r="I12" s="22"/>
    </row>
    <row r="13" spans="1:9" s="1" customFormat="1" ht="12.5" customHeight="1" x14ac:dyDescent="0.25">
      <c r="A13" s="21"/>
      <c r="B13" s="26"/>
      <c r="C13" s="26"/>
      <c r="D13" s="26"/>
      <c r="E13" s="26"/>
      <c r="F13" s="27"/>
      <c r="G13" s="27"/>
      <c r="H13" s="27"/>
      <c r="I13" s="22"/>
    </row>
    <row r="14" spans="1:9" s="1" customFormat="1" ht="20" customHeight="1" x14ac:dyDescent="0.25">
      <c r="A14" s="21"/>
      <c r="G14" s="30" t="s">
        <v>54</v>
      </c>
      <c r="I14" s="22"/>
    </row>
    <row r="15" spans="1:9" s="1" customFormat="1" ht="7" customHeight="1" x14ac:dyDescent="0.25">
      <c r="A15" s="23"/>
      <c r="B15" s="29"/>
      <c r="C15" s="29"/>
      <c r="D15" s="29"/>
      <c r="E15" s="29"/>
      <c r="F15" s="29"/>
      <c r="G15" s="29"/>
      <c r="H15" s="29"/>
      <c r="I15" s="24"/>
    </row>
    <row r="16" spans="1:9" s="1" customFormat="1" ht="12.5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C9CD-8D2A-4943-97B6-A427254722DE}">
  <dimension ref="A1:J20"/>
  <sheetViews>
    <sheetView workbookViewId="0">
      <selection activeCell="I7" sqref="I7"/>
    </sheetView>
  </sheetViews>
  <sheetFormatPr defaultRowHeight="12.5" x14ac:dyDescent="0.25"/>
  <cols>
    <col min="1" max="4" width="1.6328125" style="1" customWidth="1"/>
    <col min="5" max="5" width="10" style="1" customWidth="1"/>
    <col min="6" max="10" width="17.6328125" style="1" customWidth="1"/>
    <col min="11" max="16384" width="8.7265625" style="1"/>
  </cols>
  <sheetData>
    <row r="1" spans="1:10" ht="15.5" x14ac:dyDescent="0.35">
      <c r="A1" s="9" t="s">
        <v>52</v>
      </c>
    </row>
    <row r="3" spans="1:10" x14ac:dyDescent="0.25">
      <c r="F3" s="30"/>
      <c r="G3" s="30" t="s">
        <v>44</v>
      </c>
      <c r="H3" s="30" t="s">
        <v>45</v>
      </c>
      <c r="I3" s="30" t="s">
        <v>46</v>
      </c>
      <c r="J3" s="30" t="s">
        <v>47</v>
      </c>
    </row>
    <row r="4" spans="1:10" x14ac:dyDescent="0.25">
      <c r="F4" s="33" t="s">
        <v>48</v>
      </c>
      <c r="G4" s="33" t="s">
        <v>49</v>
      </c>
      <c r="H4" s="33" t="s">
        <v>49</v>
      </c>
      <c r="I4" s="33" t="s">
        <v>50</v>
      </c>
      <c r="J4" s="33" t="s">
        <v>50</v>
      </c>
    </row>
    <row r="5" spans="1:10" x14ac:dyDescent="0.25">
      <c r="F5" s="30">
        <v>0</v>
      </c>
      <c r="G5" s="34">
        <v>2500000</v>
      </c>
      <c r="H5" s="34" t="s">
        <v>51</v>
      </c>
      <c r="I5" s="7">
        <f>32160+50000</f>
        <v>82160</v>
      </c>
      <c r="J5" s="7">
        <f>50000*0.09</f>
        <v>4500</v>
      </c>
    </row>
    <row r="6" spans="1:10" x14ac:dyDescent="0.25">
      <c r="F6" s="30">
        <v>1</v>
      </c>
      <c r="G6" s="34">
        <v>500000</v>
      </c>
      <c r="H6" s="34">
        <v>2499999</v>
      </c>
      <c r="I6" s="4">
        <f>16080+40000</f>
        <v>56080</v>
      </c>
      <c r="J6" s="4">
        <f>40000*0.09</f>
        <v>3600</v>
      </c>
    </row>
    <row r="7" spans="1:10" x14ac:dyDescent="0.25">
      <c r="F7" s="30">
        <v>2</v>
      </c>
      <c r="G7" s="34">
        <v>100000</v>
      </c>
      <c r="H7" s="34">
        <v>499999</v>
      </c>
      <c r="I7" s="4">
        <f>10720+30000</f>
        <v>40720</v>
      </c>
      <c r="J7" s="4">
        <f>30000*0.09</f>
        <v>2700</v>
      </c>
    </row>
    <row r="8" spans="1:10" x14ac:dyDescent="0.25">
      <c r="F8" s="30">
        <v>3</v>
      </c>
      <c r="G8" s="34" t="s">
        <v>51</v>
      </c>
      <c r="H8" s="34">
        <v>99999</v>
      </c>
      <c r="I8" s="4">
        <f>8040+20000</f>
        <v>28040</v>
      </c>
      <c r="J8" s="4">
        <f>20000*0.09</f>
        <v>1800</v>
      </c>
    </row>
    <row r="9" spans="1:10" x14ac:dyDescent="0.25">
      <c r="F9" s="30"/>
      <c r="G9" s="34"/>
      <c r="H9" s="34"/>
      <c r="I9" s="4"/>
      <c r="J9" s="4"/>
    </row>
    <row r="10" spans="1:10" x14ac:dyDescent="0.25">
      <c r="B10" s="26"/>
      <c r="C10" s="26"/>
      <c r="D10" s="26"/>
      <c r="E10" s="26"/>
      <c r="H10" s="27"/>
    </row>
    <row r="11" spans="1:10" x14ac:dyDescent="0.25">
      <c r="B11" s="26"/>
      <c r="C11" s="26"/>
      <c r="D11" s="26"/>
      <c r="E11" s="26"/>
      <c r="F11" s="27"/>
      <c r="G11" s="27"/>
      <c r="H11" s="27"/>
    </row>
    <row r="12" spans="1:10" x14ac:dyDescent="0.25">
      <c r="B12" s="26"/>
      <c r="C12" s="26"/>
      <c r="D12" s="26"/>
      <c r="E12" s="26"/>
      <c r="F12" s="27"/>
      <c r="G12" s="27"/>
      <c r="H12" s="27"/>
    </row>
    <row r="13" spans="1:10" x14ac:dyDescent="0.25">
      <c r="B13" s="26"/>
      <c r="C13" s="26"/>
      <c r="D13" s="26"/>
      <c r="E13" s="26"/>
      <c r="F13" s="27"/>
      <c r="G13" s="27"/>
      <c r="H13" s="27"/>
    </row>
    <row r="14" spans="1:10" x14ac:dyDescent="0.25">
      <c r="B14" s="26"/>
      <c r="C14" s="26"/>
      <c r="D14" s="26"/>
      <c r="E14" s="26"/>
      <c r="F14" s="27"/>
      <c r="G14" s="27"/>
      <c r="H14" s="27"/>
    </row>
    <row r="15" spans="1:10" x14ac:dyDescent="0.25">
      <c r="B15" s="26"/>
      <c r="C15" s="26"/>
      <c r="D15" s="26"/>
      <c r="E15" s="26"/>
      <c r="F15" s="35"/>
      <c r="G15" s="35"/>
      <c r="H15" s="35"/>
    </row>
    <row r="16" spans="1:10" x14ac:dyDescent="0.25">
      <c r="B16" s="26"/>
      <c r="C16" s="26"/>
      <c r="D16" s="26"/>
      <c r="E16" s="26"/>
      <c r="F16" s="35"/>
      <c r="G16" s="35"/>
      <c r="H16" s="35"/>
    </row>
    <row r="17" spans="2:8" x14ac:dyDescent="0.25">
      <c r="B17" s="26"/>
      <c r="C17" s="26"/>
      <c r="D17" s="26"/>
      <c r="E17" s="26"/>
      <c r="F17" s="35"/>
      <c r="G17" s="35"/>
      <c r="H17" s="35"/>
    </row>
    <row r="18" spans="2:8" x14ac:dyDescent="0.25">
      <c r="F18" s="36"/>
      <c r="G18" s="36"/>
      <c r="H18" s="36"/>
    </row>
    <row r="19" spans="2:8" x14ac:dyDescent="0.25">
      <c r="F19" s="36"/>
      <c r="G19" s="36"/>
      <c r="H19" s="36"/>
    </row>
    <row r="20" spans="2:8" x14ac:dyDescent="0.25">
      <c r="F20" s="36"/>
      <c r="G20" s="36"/>
      <c r="H20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Outputs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Scharfspitz</dc:creator>
  <cp:lastModifiedBy>Jason Scharfspitz</cp:lastModifiedBy>
  <dcterms:created xsi:type="dcterms:W3CDTF">2026-01-30T14:41:45Z</dcterms:created>
  <dcterms:modified xsi:type="dcterms:W3CDTF">2026-04-06T20:52:58Z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2026-01-30T16:59:18Z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598da55f-a778-4602-93c1-2a392cf3800d</vt:lpwstr>
  </property>
  <property fmtid="{D5CDD505-2E9C-101B-9397-08002B2CF9AE}" pid="7" name="MSIP_Label_defa4170-0d19-0005-0004-bc88714345d2_ActionId">
    <vt:lpwstr>a60f35cb-10d1-4398-a4af-6110f3dc3598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