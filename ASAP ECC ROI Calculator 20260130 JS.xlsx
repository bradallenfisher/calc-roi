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ivate\jasonscharfspitz\Product Mgmt\TMA\Post Closing\"/>
    </mc:Choice>
  </mc:AlternateContent>
  <xr:revisionPtr revIDLastSave="0" documentId="13_ncr:1_{F0CA9585-B0FD-447D-B245-6D7C3BCC64DD}" xr6:coauthVersionLast="47" xr6:coauthVersionMax="47" xr10:uidLastSave="{00000000-0000-0000-0000-000000000000}"/>
  <bookViews>
    <workbookView xWindow="28680" yWindow="-120" windowWidth="29040" windowHeight="17520" xr2:uid="{DBDC0782-8BB8-4224-9B7F-B02C23DF6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13" i="1"/>
  <c r="G27" i="1"/>
  <c r="G7" i="1"/>
  <c r="G20" i="1" l="1"/>
  <c r="G15" i="1"/>
  <c r="G21" i="1"/>
  <c r="G22" i="1" s="1"/>
  <c r="G16" i="1" l="1"/>
  <c r="G36" i="1"/>
  <c r="G37" i="1" s="1"/>
  <c r="G38" i="1" s="1"/>
  <c r="G39" i="1" s="1"/>
  <c r="G40" i="1" s="1"/>
  <c r="G28" i="1"/>
  <c r="G29" i="1" s="1"/>
  <c r="G34" i="1" s="1"/>
  <c r="G23" i="1"/>
  <c r="G24" i="1" s="1"/>
</calcChain>
</file>

<file path=xl/sharedStrings.xml><?xml version="1.0" encoding="utf-8"?>
<sst xmlns="http://schemas.openxmlformats.org/spreadsheetml/2006/main" count="36" uniqueCount="34">
  <si>
    <t>Percent expected to transition to ASAP Service</t>
  </si>
  <si>
    <t>Average telecommunicator processing time</t>
  </si>
  <si>
    <t>Minutes</t>
  </si>
  <si>
    <t>Average telecommunicator burdened compensation</t>
  </si>
  <si>
    <t>Hourly</t>
  </si>
  <si>
    <t>Return on investment</t>
  </si>
  <si>
    <t>Cost of living compensation increase per year</t>
  </si>
  <si>
    <t>ASAP ECC ROI Calculator</t>
  </si>
  <si>
    <t>Upfront implementation cost</t>
  </si>
  <si>
    <t>Recurring annual CAD interface maintenance fee</t>
  </si>
  <si>
    <t>More accurate responses (no transcription errors, AVS-01)</t>
  </si>
  <si>
    <t>Monthly alarm requests for service</t>
  </si>
  <si>
    <t>Monthly alarm requests to be handled by ASAP Service</t>
  </si>
  <si>
    <t>(Call processing times in seconds unless otherwise stated)</t>
  </si>
  <si>
    <t>Monthly 911 calls</t>
  </si>
  <si>
    <t>Alarm request for service call</t>
  </si>
  <si>
    <t>Hold time on admin line</t>
  </si>
  <si>
    <t>Number of call backs needed</t>
  </si>
  <si>
    <t>Time per callback</t>
  </si>
  <si>
    <t>Total time associated with callbacks</t>
  </si>
  <si>
    <t>Total time</t>
  </si>
  <si>
    <t>In minutes</t>
  </si>
  <si>
    <t>ASAP Service alarm request processing time</t>
  </si>
  <si>
    <t>Monthly reallocated telecommunicator time</t>
  </si>
  <si>
    <t>In hours</t>
  </si>
  <si>
    <t>Value of reallocated time/month</t>
  </si>
  <si>
    <t>Value of reallocated time/year</t>
  </si>
  <si>
    <t>Reduction in time needed to process each 911 call</t>
  </si>
  <si>
    <t>Reduction in time needed to dispatch an alam request</t>
  </si>
  <si>
    <t>Time saved per month (minutes)</t>
  </si>
  <si>
    <t>Telecommunicator time reallocated per year (hours)</t>
  </si>
  <si>
    <t>Time saved per year</t>
  </si>
  <si>
    <t>Items not quantified</t>
  </si>
  <si>
    <t>Improved metrics on alarm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</si>
</sst>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7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70C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65" fontId="3" fillId="0" borderId="0" xfId="1" applyNumberFormat="1" applyFont="1"/>
    <xf numFmtId="9" fontId="3" fillId="0" borderId="0" xfId="3" applyFont="1"/>
    <xf numFmtId="165" fontId="2" fillId="0" borderId="0" xfId="1" applyNumberFormat="1" applyFont="1"/>
    <xf numFmtId="165" fontId="2" fillId="0" borderId="0" xfId="0" applyNumberFormat="1" applyFont="1"/>
    <xf numFmtId="167" fontId="3" fillId="0" borderId="0" xfId="2" applyNumberFormat="1" applyFont="1"/>
    <xf numFmtId="167" fontId="2" fillId="0" borderId="0" xfId="2" applyNumberFormat="1" applyFont="1"/>
    <xf numFmtId="164" fontId="2" fillId="0" borderId="0" xfId="0" applyNumberFormat="1" applyFont="1"/>
    <xf numFmtId="0" fontId="4" fillId="0" borderId="0" xfId="0" applyFont="1"/>
    <xf numFmtId="167" fontId="2" fillId="2" borderId="0" xfId="2" applyNumberFormat="1" applyFont="1" applyFill="1"/>
    <xf numFmtId="9" fontId="2" fillId="2" borderId="0" xfId="3" applyFont="1" applyFill="1"/>
    <xf numFmtId="165" fontId="2" fillId="2" borderId="0" xfId="0" applyNumberFormat="1" applyFont="1" applyFill="1"/>
    <xf numFmtId="9" fontId="2" fillId="0" borderId="0" xfId="3" applyFont="1" applyFill="1"/>
    <xf numFmtId="164" fontId="3" fillId="0" borderId="0" xfId="1" applyNumberFormat="1" applyFont="1"/>
    <xf numFmtId="165" fontId="3" fillId="0" borderId="1" xfId="1" applyNumberFormat="1" applyFont="1" applyBorder="1"/>
    <xf numFmtId="165" fontId="5" fillId="0" borderId="0" xfId="1" applyNumberFormat="1" applyFont="1"/>
    <xf numFmtId="164" fontId="5" fillId="0" borderId="0" xfId="1" applyNumberFormat="1" applyFont="1"/>
    <xf numFmtId="167" fontId="2" fillId="0" borderId="0" xfId="2" applyNumberFormat="1" applyFont="1" applyFill="1"/>
    <xf numFmtId="44" fontId="2" fillId="0" borderId="0" xfId="0" applyNumberFormat="1" applyFont="1"/>
    <xf numFmtId="165" fontId="2" fillId="0" borderId="2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DAD5-5291-428A-B2BE-5BA4DCAC6798}">
  <dimension ref="A1:H44"/>
  <sheetViews>
    <sheetView tabSelected="1" zoomScaleNormal="100" workbookViewId="0"/>
  </sheetViews>
  <sheetFormatPr defaultRowHeight="12.5" x14ac:dyDescent="0.25"/>
  <cols>
    <col min="1" max="4" width="1.6328125" style="1" customWidth="1"/>
    <col min="5" max="5" width="8.7265625" style="1"/>
    <col min="6" max="6" width="34.453125" style="1" customWidth="1"/>
    <col min="7" max="7" width="9.6328125" style="1" customWidth="1"/>
    <col min="8" max="8" width="10.1796875" style="1" bestFit="1" customWidth="1"/>
    <col min="9" max="16384" width="8.7265625" style="1"/>
  </cols>
  <sheetData>
    <row r="1" spans="1:7" ht="15.5" x14ac:dyDescent="0.35">
      <c r="A1" s="9" t="s">
        <v>7</v>
      </c>
    </row>
    <row r="2" spans="1:7" x14ac:dyDescent="0.25">
      <c r="A2" s="1" t="s">
        <v>13</v>
      </c>
    </row>
    <row r="4" spans="1:7" x14ac:dyDescent="0.25">
      <c r="B4" s="1" t="s">
        <v>14</v>
      </c>
      <c r="G4" s="2">
        <f>G5*10</f>
        <v>10000</v>
      </c>
    </row>
    <row r="5" spans="1:7" x14ac:dyDescent="0.25">
      <c r="B5" s="1" t="s">
        <v>11</v>
      </c>
      <c r="G5" s="2">
        <v>1000</v>
      </c>
    </row>
    <row r="6" spans="1:7" x14ac:dyDescent="0.25">
      <c r="C6" s="1" t="s">
        <v>0</v>
      </c>
      <c r="G6" s="3">
        <v>0.5</v>
      </c>
    </row>
    <row r="7" spans="1:7" x14ac:dyDescent="0.25">
      <c r="D7" s="1" t="s">
        <v>12</v>
      </c>
      <c r="G7" s="4">
        <f>G5*G6</f>
        <v>500</v>
      </c>
    </row>
    <row r="8" spans="1:7" x14ac:dyDescent="0.25">
      <c r="G8" s="4"/>
    </row>
    <row r="9" spans="1:7" x14ac:dyDescent="0.25">
      <c r="B9" s="1" t="s">
        <v>15</v>
      </c>
      <c r="G9" s="4"/>
    </row>
    <row r="10" spans="1:7" x14ac:dyDescent="0.25">
      <c r="C10" s="1" t="s">
        <v>16</v>
      </c>
      <c r="G10" s="2">
        <v>120</v>
      </c>
    </row>
    <row r="11" spans="1:7" x14ac:dyDescent="0.25">
      <c r="C11" s="1" t="s">
        <v>17</v>
      </c>
      <c r="G11" s="14">
        <v>2.7</v>
      </c>
    </row>
    <row r="12" spans="1:7" x14ac:dyDescent="0.25">
      <c r="D12" s="1" t="s">
        <v>18</v>
      </c>
      <c r="G12" s="2">
        <v>60</v>
      </c>
    </row>
    <row r="13" spans="1:7" x14ac:dyDescent="0.25">
      <c r="E13" s="1" t="s">
        <v>19</v>
      </c>
      <c r="G13" s="2">
        <f>G11*G12</f>
        <v>162</v>
      </c>
    </row>
    <row r="14" spans="1:7" x14ac:dyDescent="0.25">
      <c r="C14" s="1" t="s">
        <v>1</v>
      </c>
      <c r="G14" s="15">
        <v>120</v>
      </c>
    </row>
    <row r="15" spans="1:7" x14ac:dyDescent="0.25">
      <c r="D15" s="1" t="s">
        <v>20</v>
      </c>
      <c r="G15" s="16">
        <f>SUM(G10,G13:G14)</f>
        <v>402</v>
      </c>
    </row>
    <row r="16" spans="1:7" x14ac:dyDescent="0.25">
      <c r="E16" s="1" t="s">
        <v>21</v>
      </c>
      <c r="G16" s="17">
        <f>G15/60</f>
        <v>6.7</v>
      </c>
    </row>
    <row r="17" spans="2:8" x14ac:dyDescent="0.25">
      <c r="G17" s="2"/>
    </row>
    <row r="18" spans="2:8" x14ac:dyDescent="0.25">
      <c r="B18" s="1" t="s">
        <v>22</v>
      </c>
      <c r="G18" s="2">
        <v>20</v>
      </c>
    </row>
    <row r="19" spans="2:8" x14ac:dyDescent="0.25">
      <c r="G19" s="2"/>
    </row>
    <row r="20" spans="2:8" x14ac:dyDescent="0.25">
      <c r="B20" s="1" t="s">
        <v>23</v>
      </c>
      <c r="G20" s="4">
        <f>G7*SUM(G13:G14)</f>
        <v>141000</v>
      </c>
    </row>
    <row r="21" spans="2:8" x14ac:dyDescent="0.25">
      <c r="C21" s="1" t="s">
        <v>21</v>
      </c>
      <c r="G21" s="5">
        <f>G20/60</f>
        <v>2350</v>
      </c>
    </row>
    <row r="22" spans="2:8" x14ac:dyDescent="0.25">
      <c r="C22" s="1" t="s">
        <v>24</v>
      </c>
      <c r="G22" s="12">
        <f>G21/60</f>
        <v>39.166666666666664</v>
      </c>
    </row>
    <row r="23" spans="2:8" x14ac:dyDescent="0.25">
      <c r="D23" s="1" t="s">
        <v>30</v>
      </c>
      <c r="G23" s="12">
        <f>G22*12</f>
        <v>470</v>
      </c>
      <c r="H23" s="5"/>
    </row>
    <row r="24" spans="2:8" x14ac:dyDescent="0.25">
      <c r="E24" s="1" t="s">
        <v>27</v>
      </c>
      <c r="G24" s="20">
        <f>G23*3600/G4</f>
        <v>169.2</v>
      </c>
    </row>
    <row r="25" spans="2:8" x14ac:dyDescent="0.25">
      <c r="G25" s="5"/>
    </row>
    <row r="26" spans="2:8" x14ac:dyDescent="0.25">
      <c r="B26" s="1" t="s">
        <v>3</v>
      </c>
      <c r="G26" s="6">
        <v>79500</v>
      </c>
    </row>
    <row r="27" spans="2:8" x14ac:dyDescent="0.25">
      <c r="C27" s="1" t="s">
        <v>4</v>
      </c>
      <c r="G27" s="19">
        <f>G26/2080</f>
        <v>38.221153846153847</v>
      </c>
    </row>
    <row r="28" spans="2:8" x14ac:dyDescent="0.25">
      <c r="B28" s="1" t="s">
        <v>25</v>
      </c>
      <c r="G28" s="7">
        <f>G22*G27</f>
        <v>1496.9951923076922</v>
      </c>
    </row>
    <row r="29" spans="2:8" x14ac:dyDescent="0.25">
      <c r="C29" s="1" t="s">
        <v>26</v>
      </c>
      <c r="G29" s="10">
        <f>G28*12</f>
        <v>17963.942307692305</v>
      </c>
    </row>
    <row r="30" spans="2:8" x14ac:dyDescent="0.25">
      <c r="B30" s="1" t="s">
        <v>6</v>
      </c>
      <c r="G30" s="3">
        <v>0.03</v>
      </c>
    </row>
    <row r="31" spans="2:8" x14ac:dyDescent="0.25">
      <c r="G31" s="18"/>
    </row>
    <row r="32" spans="2:8" x14ac:dyDescent="0.25">
      <c r="B32" s="1" t="s">
        <v>8</v>
      </c>
      <c r="G32" s="6">
        <v>30000</v>
      </c>
    </row>
    <row r="33" spans="2:7" x14ac:dyDescent="0.25">
      <c r="B33" s="1" t="s">
        <v>9</v>
      </c>
      <c r="G33" s="6">
        <v>3000</v>
      </c>
    </row>
    <row r="34" spans="2:7" x14ac:dyDescent="0.25">
      <c r="B34" s="1" t="s">
        <v>5</v>
      </c>
      <c r="G34" s="11">
        <f>(G29-G33)/ABS(G32)+G30</f>
        <v>0.52879807692307679</v>
      </c>
    </row>
    <row r="35" spans="2:7" x14ac:dyDescent="0.25">
      <c r="G35" s="13"/>
    </row>
    <row r="36" spans="2:7" x14ac:dyDescent="0.25">
      <c r="B36" s="1" t="s">
        <v>28</v>
      </c>
      <c r="G36" s="5">
        <f>G15-G18</f>
        <v>382</v>
      </c>
    </row>
    <row r="37" spans="2:7" x14ac:dyDescent="0.25">
      <c r="C37" s="1" t="s">
        <v>2</v>
      </c>
      <c r="G37" s="8">
        <f>G36/60</f>
        <v>6.3666666666666663</v>
      </c>
    </row>
    <row r="38" spans="2:7" x14ac:dyDescent="0.25">
      <c r="D38" s="1" t="s">
        <v>29</v>
      </c>
      <c r="G38" s="4">
        <f>G7*G37</f>
        <v>3183.333333333333</v>
      </c>
    </row>
    <row r="39" spans="2:7" x14ac:dyDescent="0.25">
      <c r="E39" s="1" t="s">
        <v>24</v>
      </c>
      <c r="G39" s="5">
        <f>G38/60</f>
        <v>53.05555555555555</v>
      </c>
    </row>
    <row r="40" spans="2:7" x14ac:dyDescent="0.25">
      <c r="D40" s="1" t="s">
        <v>31</v>
      </c>
      <c r="G40" s="12">
        <f>G39*12</f>
        <v>636.66666666666663</v>
      </c>
    </row>
    <row r="42" spans="2:7" x14ac:dyDescent="0.25">
      <c r="B42" s="1" t="s">
        <v>32</v>
      </c>
    </row>
    <row r="43" spans="2:7" x14ac:dyDescent="0.25">
      <c r="C43" s="1" t="s">
        <v>33</v>
      </c>
    </row>
    <row r="44" spans="2:7" x14ac:dyDescent="0.25">
      <c r="C4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Scharfspitz</dc:creator>
  <cp:lastModifiedBy>Jason Scharfspitz</cp:lastModifiedBy>
  <dcterms:created xsi:type="dcterms:W3CDTF">2026-01-30T14:41:45Z</dcterms:created>
  <dcterms:modified xsi:type="dcterms:W3CDTF">2026-01-30T21:18:38Z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2026-01-30T16:59:18Z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598da55f-a778-4602-93c1-2a392cf3800d</vt:lpwstr>
  </property>
  <property fmtid="{D5CDD505-2E9C-101B-9397-08002B2CF9AE}" pid="7" name="MSIP_Label_defa4170-0d19-0005-0004-bc88714345d2_ActionId">
    <vt:lpwstr>a60f35cb-10d1-4398-a4af-6110f3dc3598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